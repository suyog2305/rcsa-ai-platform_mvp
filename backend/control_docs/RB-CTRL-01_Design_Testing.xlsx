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 Plan" sheetId="1" state="visible" r:id="rId1"/>
    <sheet xmlns:r="http://schemas.openxmlformats.org/officeDocument/2006/relationships" name="Exception Log — Live" sheetId="2" state="visible" r:id="rId2"/>
  </sheets>
  <definedNames>
    <definedName name="_xlnm._FilterDatabase" localSheetId="1" hidden="1">'Exception Log — Live'!$A$2:$J$9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E4FA8"/>
      <sz val="10"/>
    </font>
    <font>
      <name val="Calibri"/>
      <b val="1"/>
      <color rgb="000F2240"/>
      <sz val="9"/>
    </font>
    <font>
      <name val="Calibri"/>
      <color rgb="001E293B"/>
      <sz val="9"/>
    </font>
    <font>
      <name val="Calibri"/>
      <b val="1"/>
      <color rgb="00B45309"/>
      <sz val="9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b val="1"/>
      <color rgb="0015803D"/>
      <sz val="9"/>
    </font>
    <font>
      <name val="Calibri"/>
      <b val="1"/>
      <color rgb="00B91C1C"/>
      <sz val="9"/>
    </font>
    <font>
      <name val="Calibri"/>
      <color rgb="00B91C1C"/>
      <sz val="9"/>
    </font>
    <font>
      <name val="Calibri"/>
      <b val="1"/>
      <color rgb="001E4FA8"/>
      <sz val="10"/>
    </font>
    <font>
      <name val="Calibri"/>
      <b val="1"/>
      <color rgb="001E4FA8"/>
      <sz val="9"/>
    </font>
    <font>
      <name val="Calibri"/>
      <b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1E4FA8"/>
      </patternFill>
    </fill>
    <fill>
      <patternFill patternType="solid">
        <fgColor rgb="00EBF1FC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0F2240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38" customWidth="1" min="3" max="3"/>
    <col width="38" customWidth="1" min="4" max="4"/>
    <col width="38" customWidth="1" min="5" max="5"/>
    <col width="38" customWidth="1" min="6" max="6"/>
    <col width="10" customWidth="1" min="7" max="7"/>
    <col width="25" customWidth="1" min="8" max="8"/>
    <col width="12" customWidth="1" min="9" max="9"/>
    <col width="35" customWidth="1" min="10" max="10"/>
  </cols>
  <sheetData>
    <row r="1" ht="36" customHeight="1">
      <c r="A1" s="1" t="inlineStr">
        <is>
          <t>DESIGN TEST PLAN — RB-CTRL-01: Exception Reporting &amp; Variance Analysis</t>
        </is>
      </c>
    </row>
    <row r="2" ht="22" customHeight="1">
      <c r="A2" s="2" t="inlineStr">
        <is>
          <t>Retail Banking Division  |  FY2026 Q2  |  ServiceNow GRC  |  Last Run: 07-May-2026</t>
        </is>
      </c>
    </row>
    <row r="3" ht="20" customHeight="1">
      <c r="A3" s="3" t="inlineStr">
        <is>
          <t>Control ID</t>
        </is>
      </c>
      <c r="B3" s="4" t="inlineStr">
        <is>
          <t>RB-CTRL-01</t>
        </is>
      </c>
    </row>
    <row r="4" ht="20" customHeight="1">
      <c r="A4" s="3" t="inlineStr">
        <is>
          <t>Control Name</t>
        </is>
      </c>
      <c r="B4" s="4" t="inlineStr">
        <is>
          <t>Exception Reporting &amp; Variance Analysis</t>
        </is>
      </c>
    </row>
    <row r="5" ht="20" customHeight="1">
      <c r="A5" s="3" t="inlineStr">
        <is>
          <t>Test Phase</t>
        </is>
      </c>
      <c r="B5" s="4" t="inlineStr">
        <is>
          <t>Design Testing — Q2 2026</t>
        </is>
      </c>
    </row>
    <row r="6" ht="20" customHeight="1">
      <c r="A6" s="3" t="inlineStr">
        <is>
          <t>Test Owner</t>
        </is>
      </c>
      <c r="B6" s="4" t="inlineStr">
        <is>
          <t>Risk &amp; Controls Team — 2nd Line</t>
        </is>
      </c>
    </row>
    <row r="7" ht="20" customHeight="1">
      <c r="A7" s="3" t="inlineStr">
        <is>
          <t>Test Date</t>
        </is>
      </c>
      <c r="B7" s="4" t="inlineStr">
        <is>
          <t>07-May-2026</t>
        </is>
      </c>
    </row>
    <row r="8" ht="20" customHeight="1">
      <c r="A8" s="3" t="inlineStr">
        <is>
          <t>GRC Reference</t>
        </is>
      </c>
      <c r="B8" s="4" t="inlineStr">
        <is>
          <t>ServiceNow — TEST-2026-RB-001</t>
        </is>
      </c>
    </row>
    <row r="9" ht="20" customHeight="1">
      <c r="A9" s="3" t="inlineStr">
        <is>
          <t>Overall Result</t>
        </is>
      </c>
      <c r="B9" s="5" t="inlineStr">
        <is>
          <t>PARTIAL PASS — 6/7 test cases passed</t>
        </is>
      </c>
    </row>
    <row r="10" ht="14" customHeight="1"/>
    <row r="11" ht="28" customHeight="1">
      <c r="A11" s="6" t="inlineStr">
        <is>
          <t>Test Case ID</t>
        </is>
      </c>
      <c r="B11" s="6" t="inlineStr">
        <is>
          <t>Test Scenario</t>
        </is>
      </c>
      <c r="C11" s="6" t="inlineStr">
        <is>
          <t>Objective</t>
        </is>
      </c>
      <c r="D11" s="6" t="inlineStr">
        <is>
          <t>Input Data</t>
        </is>
      </c>
      <c r="E11" s="6" t="inlineStr">
        <is>
          <t>Expected Result</t>
        </is>
      </c>
      <c r="F11" s="6" t="inlineStr">
        <is>
          <t>Actual Result</t>
        </is>
      </c>
      <c r="G11" s="6" t="inlineStr">
        <is>
          <t>Pass/Fail</t>
        </is>
      </c>
      <c r="H11" s="6" t="inlineStr">
        <is>
          <t>Evidence Ref</t>
        </is>
      </c>
      <c r="I11" s="6" t="inlineStr">
        <is>
          <t>Tester</t>
        </is>
      </c>
      <c r="J11" s="6" t="inlineStr">
        <is>
          <t>Notes</t>
        </is>
      </c>
    </row>
    <row r="12" ht="52" customHeight="1">
      <c r="A12" s="7" t="inlineStr">
        <is>
          <t>TC-01</t>
        </is>
      </c>
      <c r="B12" s="8" t="inlineStr">
        <is>
          <t>Income variance at exactly 14.9% — below threshold</t>
        </is>
      </c>
      <c r="C12" s="8" t="inlineStr">
        <is>
          <t>Confirm no exception raised — boundary test (lower bound)</t>
        </is>
      </c>
      <c r="D12" s="8" t="inlineStr">
        <is>
          <t>App income: $85,000 / Bureau income: $72,260 / Variance: 14.94%</t>
        </is>
      </c>
      <c r="E12" s="8" t="inlineStr">
        <is>
          <t>No exception flagged; application proceeds to normal processing</t>
        </is>
      </c>
      <c r="F12" s="8" t="inlineStr">
        <is>
          <t>No exception raised. Application processed normally.</t>
        </is>
      </c>
      <c r="G12" s="9" t="inlineStr">
        <is>
          <t>Pass</t>
        </is>
      </c>
      <c r="H12" s="8" t="inlineStr">
        <is>
          <t>ServiceNow LOG-TC01-20260507</t>
        </is>
      </c>
      <c r="I12" s="10" t="inlineStr">
        <is>
          <t>A. Thompson</t>
        </is>
      </c>
      <c r="J12" s="8" t="inlineStr">
        <is>
          <t>Boundary test confirmed — threshold correctly not triggered at 14.94%</t>
        </is>
      </c>
    </row>
    <row r="13" ht="52" customHeight="1">
      <c r="A13" s="11" t="inlineStr">
        <is>
          <t>TC-02</t>
        </is>
      </c>
      <c r="B13" s="12" t="inlineStr">
        <is>
          <t>Income variance at exactly 15.1% — above threshold</t>
        </is>
      </c>
      <c r="C13" s="12" t="inlineStr">
        <is>
          <t>Confirm exception raised at first point above 15% threshold — critical boundary test</t>
        </is>
      </c>
      <c r="D13" s="12" t="inlineStr">
        <is>
          <t>App income: $85,000 / Bureau income: $71,995 / Variance: 15.30%</t>
        </is>
      </c>
      <c r="E13" s="12" t="inlineStr">
        <is>
          <t>Exception flagged as Medium severity; routed to credit analyst queue</t>
        </is>
      </c>
      <c r="F13" s="12" t="inlineStr">
        <is>
          <t>Exception raised correctly. Routed to ServiceNow queue as Medium severity.</t>
        </is>
      </c>
      <c r="G13" s="9" t="inlineStr">
        <is>
          <t>Pass</t>
        </is>
      </c>
      <c r="H13" s="12" t="inlineStr">
        <is>
          <t>ServiceNow LOG-TC02-20260507</t>
        </is>
      </c>
      <c r="I13" s="13" t="inlineStr">
        <is>
          <t>A. Thompson</t>
        </is>
      </c>
      <c r="J13" s="12" t="inlineStr">
        <is>
          <t>Threshold triggers correctly at 15.1%. Queue routing confirmed.</t>
        </is>
      </c>
    </row>
    <row r="14" ht="52" customHeight="1">
      <c r="A14" s="7" t="inlineStr">
        <is>
          <t>TC-03</t>
        </is>
      </c>
      <c r="B14" s="8" t="inlineStr">
        <is>
          <t>Employment mismatch — Employed vs Self-Employed</t>
        </is>
      </c>
      <c r="C14" s="8" t="inlineStr">
        <is>
          <t>Confirm Critical severity alert and CCO notification triggered</t>
        </is>
      </c>
      <c r="D14" s="8" t="inlineStr">
        <is>
          <t>App: Employed (PAYE) / Bureau: Self-Employed (Schedule C filer)</t>
        </is>
      </c>
      <c r="E14" s="8" t="inlineStr">
        <is>
          <t>Critical exception + automatic CCO alert within 2 hours + disbursement hold</t>
        </is>
      </c>
      <c r="F14" s="8" t="inlineStr">
        <is>
          <t>Critical exception raised. CCO Teams alert sent at T+00:04. Disbursement hold applied.</t>
        </is>
      </c>
      <c r="G14" s="9" t="inlineStr">
        <is>
          <t>Pass</t>
        </is>
      </c>
      <c r="H14" s="8" t="inlineStr">
        <is>
          <t>ServiceNow LOG-TC03-20260507</t>
        </is>
      </c>
      <c r="I14" s="10" t="inlineStr">
        <is>
          <t>A. Thompson</t>
        </is>
      </c>
      <c r="J14" s="8" t="inlineStr">
        <is>
          <t>Alert timing: 4 minutes. Well within 2-hour SLA.</t>
        </is>
      </c>
    </row>
    <row r="15" ht="52" customHeight="1">
      <c r="A15" s="11" t="inlineStr">
        <is>
          <t>TC-04</t>
        </is>
      </c>
      <c r="B15" s="12" t="inlineStr">
        <is>
          <t>Bureau API timeout — single bureau unavailable</t>
        </is>
      </c>
      <c r="C15" s="12" t="inlineStr">
        <is>
          <t>Confirm graceful failure — fallback to two-bureau average without disbursement</t>
        </is>
      </c>
      <c r="D15" s="12" t="inlineStr">
        <is>
          <t>Equifax API returns 504 timeout; Experian and TransUnion available</t>
        </is>
      </c>
      <c r="E15" s="12" t="inlineStr">
        <is>
          <t>Fallback to 2-bureau average; exception flagged noting single-bureau failure; no disbursement</t>
        </is>
      </c>
      <c r="F15" s="12" t="inlineStr">
        <is>
          <t>Fallback logic activated. 2-bureau average used. Disbursement hold applied. ServiceNow alert raised.</t>
        </is>
      </c>
      <c r="G15" s="9" t="inlineStr">
        <is>
          <t>Pass</t>
        </is>
      </c>
      <c r="H15" s="12" t="inlineStr">
        <is>
          <t>ServiceNow LOG-TC04-20260507</t>
        </is>
      </c>
      <c r="I15" s="13" t="inlineStr">
        <is>
          <t>B. Patel</t>
        </is>
      </c>
      <c r="J15" s="12" t="inlineStr">
        <is>
          <t>Fallback logic confirmed working. Single-bureau gap noted in exception.</t>
        </is>
      </c>
    </row>
    <row r="16" ht="52" customHeight="1">
      <c r="A16" s="7" t="inlineStr">
        <is>
          <t>TC-05</t>
        </is>
      </c>
      <c r="B16" s="8" t="inlineStr">
        <is>
          <t>Batch job failure at 23:00</t>
        </is>
      </c>
      <c r="C16" s="8" t="inlineStr">
        <is>
          <t>Confirm retry logic and morning escalation to Technology team</t>
        </is>
      </c>
      <c r="D16" s="8" t="inlineStr">
        <is>
          <t>Simulate batch job failure via test environment kill signal at 23:00</t>
        </is>
      </c>
      <c r="E16" s="8" t="inlineStr">
        <is>
          <t>Retry at 23:15 and 23:30; if still failing, Technology escalation alert by 00:00</t>
        </is>
      </c>
      <c r="F16" s="8" t="inlineStr">
        <is>
          <t>Retry at 23:15 succeeded. No escalation required. Exception log shows retry event.</t>
        </is>
      </c>
      <c r="G16" s="9" t="inlineStr">
        <is>
          <t>Pass</t>
        </is>
      </c>
      <c r="H16" s="8" t="inlineStr">
        <is>
          <t>ServiceNow LOG-TC05-20260507</t>
        </is>
      </c>
      <c r="I16" s="10" t="inlineStr">
        <is>
          <t>B. Patel</t>
        </is>
      </c>
      <c r="J16" s="8" t="inlineStr">
        <is>
          <t>Retry logic working. Primary batch failure risk is mitigated.</t>
        </is>
      </c>
    </row>
    <row r="17" ht="52" customHeight="1">
      <c r="A17" s="11" t="inlineStr">
        <is>
          <t>TC-06</t>
        </is>
      </c>
      <c r="B17" s="12" t="inlineStr">
        <is>
          <t>Multiple exceptions — same application</t>
        </is>
      </c>
      <c r="C17" s="12" t="inlineStr">
        <is>
          <t>Confirm single queue item created with all exceptions aggregated</t>
        </is>
      </c>
      <c r="D17" s="12" t="inlineStr">
        <is>
          <t>Income variance 22% + DTI variance 7pp on same application</t>
        </is>
      </c>
      <c r="E17" s="12" t="inlineStr">
        <is>
          <t>Single ServiceNow ticket with both exceptions listed; severity = highest (High for income 22%)</t>
        </is>
      </c>
      <c r="F17" s="12" t="inlineStr">
        <is>
          <t>Single ticket created. Both exceptions listed. Severity correctly set to High (income 22%).</t>
        </is>
      </c>
      <c r="G17" s="9" t="inlineStr">
        <is>
          <t>Pass</t>
        </is>
      </c>
      <c r="H17" s="12" t="inlineStr">
        <is>
          <t>ServiceNow LOG-TC06-20260507</t>
        </is>
      </c>
      <c r="I17" s="13" t="inlineStr">
        <is>
          <t>A. Thompson</t>
        </is>
      </c>
      <c r="J17" s="12" t="inlineStr">
        <is>
          <t>Exception aggregation working correctly.</t>
        </is>
      </c>
    </row>
    <row r="18" ht="52" customHeight="1">
      <c r="A18" s="7" t="inlineStr">
        <is>
          <t>TC-07</t>
        </is>
      </c>
      <c r="B18" s="8" t="inlineStr">
        <is>
          <t>Intraday vulnerability — sub-$150K loan disbursed before batch</t>
        </is>
      </c>
      <c r="C18" s="8" t="inlineStr">
        <is>
          <t>Confirm whether disbursement hold prevents disbursement on unreviewed applications</t>
        </is>
      </c>
      <c r="D18" s="8" t="inlineStr">
        <is>
          <t>Loan amount: $120,000 / Application submitted 09:00 / Disbursement request 11:00 (before batch)</t>
        </is>
      </c>
      <c r="E18" s="8" t="inlineStr">
        <is>
          <t>Disbursement should be held pending overnight exception check</t>
        </is>
      </c>
      <c r="F18" s="8" t="inlineStr">
        <is>
          <t>FAIL: Disbursement proceeded at 11:00. $150K hold threshold not triggered at $120K. Gap confirmed.</t>
        </is>
      </c>
      <c r="G18" s="14" t="inlineStr">
        <is>
          <t>Fail</t>
        </is>
      </c>
      <c r="H18" s="15" t="inlineStr">
        <is>
          <t>ServiceNow LOG-TC07-20260507 — OPEN</t>
        </is>
      </c>
      <c r="I18" s="10" t="inlineStr">
        <is>
          <t>A. Thompson</t>
        </is>
      </c>
      <c r="J18" s="8" t="inlineStr">
        <is>
          <t>P2 Action ACT-002 confirmed. Sub-$150K intraday gap is real. CCM upgrade required.</t>
        </is>
      </c>
    </row>
    <row r="20">
      <c r="A20" s="6" t="inlineStr">
        <is>
          <t>SUMMARY</t>
        </is>
      </c>
      <c r="C20" s="3" t="inlineStr">
        <is>
          <t>Total Test Cases</t>
        </is>
      </c>
      <c r="D20" s="16" t="n">
        <v>7</v>
      </c>
    </row>
    <row r="21">
      <c r="C21" s="3" t="inlineStr">
        <is>
          <t>Passed</t>
        </is>
      </c>
      <c r="D21" s="16">
        <f>COUNTIF(G12:G19,"Pass")</f>
        <v/>
      </c>
    </row>
    <row r="22">
      <c r="C22" s="3" t="inlineStr">
        <is>
          <t>Failed</t>
        </is>
      </c>
      <c r="D22" s="16">
        <f>COUNTIF(G12:G19,"Fail")</f>
        <v/>
      </c>
    </row>
    <row r="23">
      <c r="C23" s="3" t="inlineStr">
        <is>
          <t>Pass Rate</t>
        </is>
      </c>
      <c r="D23" s="17">
        <f>G22/G21</f>
        <v/>
      </c>
    </row>
  </sheetData>
  <mergeCells count="10">
    <mergeCell ref="B4:F4"/>
    <mergeCell ref="A2:L2"/>
    <mergeCell ref="A20:B20"/>
    <mergeCell ref="B7:F7"/>
    <mergeCell ref="B6:F6"/>
    <mergeCell ref="A1:L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20" customWidth="1" min="5" max="5"/>
    <col width="10" customWidth="1" min="6" max="6"/>
    <col width="10" customWidth="1" min="7" max="7"/>
    <col width="16" customWidth="1" min="8" max="8"/>
    <col width="35" customWidth="1" min="9" max="9"/>
    <col width="22" customWidth="1" min="10" max="10"/>
  </cols>
  <sheetData>
    <row r="1" ht="36" customHeight="1">
      <c r="A1" s="1" t="inlineStr">
        <is>
          <t>LIVE EXCEPTION LOG — RB-CTRL-01  |  May 2026 YTD</t>
        </is>
      </c>
    </row>
    <row r="2" ht="28" customHeight="1">
      <c r="A2" s="6" t="inlineStr">
        <is>
          <t>Exception ID</t>
        </is>
      </c>
      <c r="B2" s="6" t="inlineStr">
        <is>
          <t>Date</t>
        </is>
      </c>
      <c r="C2" s="6" t="inlineStr">
        <is>
          <t>Loan ID</t>
        </is>
      </c>
      <c r="D2" s="6" t="inlineStr">
        <is>
          <t>Applicant (Anonymised)</t>
        </is>
      </c>
      <c r="E2" s="6" t="inlineStr">
        <is>
          <t>Exception Type</t>
        </is>
      </c>
      <c r="F2" s="6" t="inlineStr">
        <is>
          <t>Variance %</t>
        </is>
      </c>
      <c r="G2" s="6" t="inlineStr">
        <is>
          <t>Severity</t>
        </is>
      </c>
      <c r="H2" s="6" t="inlineStr">
        <is>
          <t>Analyst Assigned</t>
        </is>
      </c>
      <c r="I2" s="6" t="inlineStr">
        <is>
          <t>Resolution</t>
        </is>
      </c>
      <c r="J2" s="6" t="inlineStr">
        <is>
          <t>Disbursement Held?</t>
        </is>
      </c>
    </row>
    <row r="3" ht="35" customHeight="1">
      <c r="A3" s="11" t="inlineStr">
        <is>
          <t>EXC-2026-001</t>
        </is>
      </c>
      <c r="B3" s="13" t="inlineStr">
        <is>
          <t>01-May-2026</t>
        </is>
      </c>
      <c r="C3" s="12" t="inlineStr">
        <is>
          <t>LN-2026-04821</t>
        </is>
      </c>
      <c r="D3" s="12" t="inlineStr">
        <is>
          <t>Applicant A</t>
        </is>
      </c>
      <c r="E3" s="12" t="inlineStr">
        <is>
          <t>Income Variance</t>
        </is>
      </c>
      <c r="F3" s="12" t="inlineStr">
        <is>
          <t>22.4%</t>
        </is>
      </c>
      <c r="G3" s="18" t="inlineStr">
        <is>
          <t>High</t>
        </is>
      </c>
      <c r="H3" s="12" t="inlineStr">
        <is>
          <t>M. Roberts</t>
        </is>
      </c>
      <c r="I3" s="12" t="inlineStr">
        <is>
          <t>Cleared — income verified via payslips</t>
        </is>
      </c>
      <c r="J3" s="19" t="inlineStr">
        <is>
          <t>Yes — cleared 02-May</t>
        </is>
      </c>
    </row>
    <row r="4" ht="35" customHeight="1">
      <c r="A4" s="7" t="inlineStr">
        <is>
          <t>EXC-2026-002</t>
        </is>
      </c>
      <c r="B4" s="10" t="inlineStr">
        <is>
          <t>02-May-2026</t>
        </is>
      </c>
      <c r="C4" s="8" t="inlineStr">
        <is>
          <t>LN-2026-04834</t>
        </is>
      </c>
      <c r="D4" s="8" t="inlineStr">
        <is>
          <t>Applicant B</t>
        </is>
      </c>
      <c r="E4" s="8" t="inlineStr">
        <is>
          <t>Employment Mismatch</t>
        </is>
      </c>
      <c r="F4" s="8" t="inlineStr">
        <is>
          <t>N/A</t>
        </is>
      </c>
      <c r="G4" s="14" t="inlineStr">
        <is>
          <t>Critical</t>
        </is>
      </c>
      <c r="H4" s="8" t="inlineStr">
        <is>
          <t>CCO escalation</t>
        </is>
      </c>
      <c r="I4" s="8" t="inlineStr">
        <is>
          <t>Referred to Financial Crime</t>
        </is>
      </c>
      <c r="J4" s="20" t="inlineStr">
        <is>
          <t>Yes — held pending</t>
        </is>
      </c>
    </row>
    <row r="5" ht="35" customHeight="1">
      <c r="A5" s="11" t="inlineStr">
        <is>
          <t>EXC-2026-003</t>
        </is>
      </c>
      <c r="B5" s="13" t="inlineStr">
        <is>
          <t>03-May-2026</t>
        </is>
      </c>
      <c r="C5" s="12" t="inlineStr">
        <is>
          <t>LN-2026-04852</t>
        </is>
      </c>
      <c r="D5" s="12" t="inlineStr">
        <is>
          <t>Applicant C</t>
        </is>
      </c>
      <c r="E5" s="12" t="inlineStr">
        <is>
          <t>Income Variance</t>
        </is>
      </c>
      <c r="F5" s="12" t="inlineStr">
        <is>
          <t>17.1%</t>
        </is>
      </c>
      <c r="G5" s="21" t="inlineStr">
        <is>
          <t>Medium</t>
        </is>
      </c>
      <c r="H5" s="12" t="inlineStr">
        <is>
          <t>S. Kumar</t>
        </is>
      </c>
      <c r="I5" s="12" t="inlineStr">
        <is>
          <t>Cleared — seasonal income documented</t>
        </is>
      </c>
      <c r="J5" s="19" t="inlineStr">
        <is>
          <t>Yes — cleared 04-May</t>
        </is>
      </c>
    </row>
    <row r="6" ht="35" customHeight="1">
      <c r="A6" s="7" t="inlineStr">
        <is>
          <t>EXC-2026-004</t>
        </is>
      </c>
      <c r="B6" s="10" t="inlineStr">
        <is>
          <t>05-May-2026</t>
        </is>
      </c>
      <c r="C6" s="8" t="inlineStr">
        <is>
          <t>LN-2026-04891</t>
        </is>
      </c>
      <c r="D6" s="8" t="inlineStr">
        <is>
          <t>Applicant D</t>
        </is>
      </c>
      <c r="E6" s="8" t="inlineStr">
        <is>
          <t>DTI Variance</t>
        </is>
      </c>
      <c r="F6" s="8" t="inlineStr">
        <is>
          <t>6.2pp</t>
        </is>
      </c>
      <c r="G6" s="18" t="inlineStr">
        <is>
          <t>High</t>
        </is>
      </c>
      <c r="H6" s="8" t="inlineStr">
        <is>
          <t>M. Roberts</t>
        </is>
      </c>
      <c r="I6" s="8" t="inlineStr">
        <is>
          <t>Cleared — undisclosed auto loan added to DTI</t>
        </is>
      </c>
      <c r="J6" s="19" t="inlineStr">
        <is>
          <t>Yes — cleared 06-May</t>
        </is>
      </c>
    </row>
    <row r="7" ht="35" customHeight="1">
      <c r="A7" s="11" t="inlineStr">
        <is>
          <t>EXC-2026-005</t>
        </is>
      </c>
      <c r="B7" s="13" t="inlineStr">
        <is>
          <t>06-May-2026</t>
        </is>
      </c>
      <c r="C7" s="12" t="inlineStr">
        <is>
          <t>LN-2026-04902</t>
        </is>
      </c>
      <c r="D7" s="12" t="inlineStr">
        <is>
          <t>Applicant E</t>
        </is>
      </c>
      <c r="E7" s="12" t="inlineStr">
        <is>
          <t>Income Variance</t>
        </is>
      </c>
      <c r="F7" s="12" t="inlineStr">
        <is>
          <t>15.3%</t>
        </is>
      </c>
      <c r="G7" s="21" t="inlineStr">
        <is>
          <t>Medium</t>
        </is>
      </c>
      <c r="H7" s="12" t="inlineStr">
        <is>
          <t>S. Kumar</t>
        </is>
      </c>
      <c r="I7" s="12" t="inlineStr">
        <is>
          <t>Cleared — overtime pay variance explained</t>
        </is>
      </c>
      <c r="J7" s="19" t="inlineStr">
        <is>
          <t>Yes — cleared 07-May</t>
        </is>
      </c>
    </row>
    <row r="8" ht="35" customHeight="1">
      <c r="A8" s="7" t="inlineStr">
        <is>
          <t>EXC-2026-006</t>
        </is>
      </c>
      <c r="B8" s="10" t="inlineStr">
        <is>
          <t>07-May-2026</t>
        </is>
      </c>
      <c r="C8" s="8" t="inlineStr">
        <is>
          <t>LN-2026-04921</t>
        </is>
      </c>
      <c r="D8" s="8" t="inlineStr">
        <is>
          <t>Applicant F</t>
        </is>
      </c>
      <c r="E8" s="8" t="inlineStr">
        <is>
          <t>Income Variance</t>
        </is>
      </c>
      <c r="F8" s="8" t="inlineStr">
        <is>
          <t>38.7%</t>
        </is>
      </c>
      <c r="G8" s="14" t="inlineStr">
        <is>
          <t>Critical</t>
        </is>
      </c>
      <c r="H8" s="8" t="inlineStr">
        <is>
          <t>CCO escalation</t>
        </is>
      </c>
      <c r="I8" s="8" t="inlineStr">
        <is>
          <t>Suspected misrepresentation — referred to Legal</t>
        </is>
      </c>
      <c r="J8" s="20" t="inlineStr">
        <is>
          <t>Yes — held pending</t>
        </is>
      </c>
    </row>
    <row r="9" ht="35" customHeight="1">
      <c r="A9" s="11" t="inlineStr">
        <is>
          <t>EXC-2026-007</t>
        </is>
      </c>
      <c r="B9" s="13" t="inlineStr">
        <is>
          <t>07-May-2026</t>
        </is>
      </c>
      <c r="C9" s="12" t="inlineStr">
        <is>
          <t>LN-2026-04928</t>
        </is>
      </c>
      <c r="D9" s="12" t="inlineStr">
        <is>
          <t>Applicant G</t>
        </is>
      </c>
      <c r="E9" s="12" t="inlineStr">
        <is>
          <t>Asset Variance</t>
        </is>
      </c>
      <c r="F9" s="12" t="inlineStr">
        <is>
          <t>28.2%</t>
        </is>
      </c>
      <c r="G9" s="22" t="inlineStr">
        <is>
          <t>Low</t>
        </is>
      </c>
      <c r="H9" s="12" t="inlineStr">
        <is>
          <t>S. Kumar</t>
        </is>
      </c>
      <c r="I9" s="12" t="inlineStr">
        <is>
          <t>Flagged for periodic review — no disbursement hold</t>
        </is>
      </c>
      <c r="J9" s="12" t="inlineStr">
        <is>
          <t>No — low severity</t>
        </is>
      </c>
    </row>
  </sheetData>
  <autoFilter ref="A2:J9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2026-05-12T07:52:24Z</dcterms:created>
  <dcterms:modified xmlns:dcterms="http://purl.org/dc/terms/" xmlns:xsi="http://www.w3.org/2001/XMLSchema-instance" xsi:type="dcterms:W3CDTF">2026-05-12T07:52:24Z</dcterms:modified>
</cp:coreProperties>
</file>